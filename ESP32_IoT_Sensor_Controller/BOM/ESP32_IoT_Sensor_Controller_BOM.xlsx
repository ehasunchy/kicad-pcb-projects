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hasu\OneDrive\Documents\KiCad\10.0\projects\ESP32_IoT_Sensor_Controller\BOM\"/>
    </mc:Choice>
  </mc:AlternateContent>
  <xr:revisionPtr revIDLastSave="0" documentId="8_{CD2E86F8-EC90-48C7-973D-AB393E983CEC}" xr6:coauthVersionLast="47" xr6:coauthVersionMax="47" xr10:uidLastSave="{00000000-0000-0000-0000-000000000000}"/>
  <bookViews>
    <workbookView xWindow="-108" yWindow="612" windowWidth="23256" windowHeight="12456" xr2:uid="{00000000-000D-0000-FFFF-FFFF00000000}"/>
  </bookViews>
  <sheets>
    <sheet name="Blank Template" sheetId="2" r:id="rId1"/>
    <sheet name="KiCad_Raw_Data" sheetId="3" r:id="rId2"/>
  </sheets>
  <definedNames>
    <definedName name="ExternalData_1" localSheetId="1" hidden="1">KiCad_Raw_Data!$A$1:$G$22</definedName>
    <definedName name="_xlnm.Print_Area" localSheetId="0">'Blank Template'!$A$1:$G$29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" i="2" l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B7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D01C53-7CBE-4B14-958A-EAEFF1FA6453}" keepAlive="1" name="Query - ESP32_IoT_Sensor_Controller" description="Connection to the 'ESP32_IoT_Sensor_Controller' query in the workbook." type="5" refreshedVersion="7" background="1" refreshOnLoad="1" saveData="1">
    <dbPr connection="Provider=Microsoft.Mashup.OleDb.1;Data Source=$Workbook$;Location=ESP32_IoT_Sensor_Controller;Extended Properties=&quot;&quot;" command="SELECT * FROM [ESP32_IoT_Sensor_Controller]"/>
  </connection>
</connections>
</file>

<file path=xl/sharedStrings.xml><?xml version="1.0" encoding="utf-8"?>
<sst xmlns="http://schemas.openxmlformats.org/spreadsheetml/2006/main" count="145" uniqueCount="122">
  <si>
    <t>Total quantity / board</t>
  </si>
  <si>
    <t>Reference</t>
  </si>
  <si>
    <t>Qty</t>
  </si>
  <si>
    <t>Value</t>
  </si>
  <si>
    <t>Footprint</t>
  </si>
  <si>
    <t>Datasheet</t>
  </si>
  <si>
    <t>Manufacturer</t>
  </si>
  <si>
    <t>MPN</t>
  </si>
  <si>
    <t>100nF</t>
  </si>
  <si>
    <t>TDK</t>
  </si>
  <si>
    <t>C1608X7R1H104K080AA</t>
  </si>
  <si>
    <t>10uF</t>
  </si>
  <si>
    <t>CL31B106KAHNNNE</t>
  </si>
  <si>
    <t>C3</t>
  </si>
  <si>
    <t>1uF</t>
  </si>
  <si>
    <t>C1608X5R1A105K080AC</t>
  </si>
  <si>
    <t>D1</t>
  </si>
  <si>
    <t>LED Green</t>
  </si>
  <si>
    <t>Kingbright</t>
  </si>
  <si>
    <t>APT1608SGC</t>
  </si>
  <si>
    <t>D2</t>
  </si>
  <si>
    <t>SMBJ5.0A</t>
  </si>
  <si>
    <t>SMBJ5.0A-TR</t>
  </si>
  <si>
    <t>D3</t>
  </si>
  <si>
    <t>USBLC6-2SC6</t>
  </si>
  <si>
    <t>F1</t>
  </si>
  <si>
    <t>Littelfuse</t>
  </si>
  <si>
    <t>1206L110/16WR</t>
  </si>
  <si>
    <t>J1</t>
  </si>
  <si>
    <t>HRO</t>
  </si>
  <si>
    <t>TYPE-C-31-M-12</t>
  </si>
  <si>
    <t>J2</t>
  </si>
  <si>
    <t>Samtec</t>
  </si>
  <si>
    <t>TSW-104-07-G-S</t>
  </si>
  <si>
    <t>Q1,Q2</t>
  </si>
  <si>
    <t>onsemi</t>
  </si>
  <si>
    <t>MMBT3904LT1G</t>
  </si>
  <si>
    <t>R1,R2</t>
  </si>
  <si>
    <t>5.1k</t>
  </si>
  <si>
    <t>YAGEO</t>
  </si>
  <si>
    <t>RC0603FR-075K1L</t>
  </si>
  <si>
    <t>10k</t>
  </si>
  <si>
    <t>RC0603FR-0710KL</t>
  </si>
  <si>
    <t>R5,R6</t>
  </si>
  <si>
    <t>4.7k</t>
  </si>
  <si>
    <t>RC0603FR-074K7L</t>
  </si>
  <si>
    <t>R7,R10</t>
  </si>
  <si>
    <t>1k</t>
  </si>
  <si>
    <t>RC0603FR-071KL</t>
  </si>
  <si>
    <t>R8</t>
  </si>
  <si>
    <t>22.1k</t>
  </si>
  <si>
    <t>RC0603FR-0722K1L</t>
  </si>
  <si>
    <t>R9</t>
  </si>
  <si>
    <t>47.5k</t>
  </si>
  <si>
    <t>RC0603FR-0747K5L</t>
  </si>
  <si>
    <t>SW1,SW2</t>
  </si>
  <si>
    <t>B3F-1000</t>
  </si>
  <si>
    <t>Omron</t>
  </si>
  <si>
    <t>U1</t>
  </si>
  <si>
    <t>Espressif</t>
  </si>
  <si>
    <t>ESP32-WROOM-32E-N4</t>
  </si>
  <si>
    <t>U2</t>
  </si>
  <si>
    <t>CP2102N-A02-GQFN24R</t>
  </si>
  <si>
    <t>U3</t>
  </si>
  <si>
    <t>AP7361C-33FGE-7</t>
  </si>
  <si>
    <t>U4</t>
  </si>
  <si>
    <t>SHT31-DIS</t>
  </si>
  <si>
    <t>Sensirion</t>
  </si>
  <si>
    <t>SHT31-DIS-B</t>
  </si>
  <si>
    <t>C1,C4,C8,C9</t>
  </si>
  <si>
    <t>Capacitor_SMD:C_0603_1608Metric</t>
  </si>
  <si>
    <t>https://product.tdk.com/en/search/capacitor/ceramic/mlcc/info?part_no=C1608X7R1H104K080AA</t>
  </si>
  <si>
    <t>C2,C5,C6,C7,C10</t>
  </si>
  <si>
    <t>Capacitor_SMD:C_1206_3216Metric</t>
  </si>
  <si>
    <t>https://product.samsungsem.com/mlcc/CL31B106KAHNNN.do</t>
  </si>
  <si>
    <t>Samsung Electro-Mechanics</t>
  </si>
  <si>
    <t>https://product.tdk.com/en/search/capacitor/ceramic/mlcc/info?part_no=C1608X5R1A105K080AC</t>
  </si>
  <si>
    <t>LED_SMD:LED_0603_1608Metric</t>
  </si>
  <si>
    <t>https://www.kingbrightusa.com/images/catalog/spec/apt1608sgc.pdf</t>
  </si>
  <si>
    <t>Diode_SMD:D_SMB</t>
  </si>
  <si>
    <t>https://www.st.com/resource/en/datasheet/smbj5-0a.pdf</t>
  </si>
  <si>
    <t>STMicroelectronics</t>
  </si>
  <si>
    <t>Package_TO_SOT_SMD:SOT-23-6</t>
  </si>
  <si>
    <t>https://www.st.com/resource/en/datasheet/usblc6-2.pdf</t>
  </si>
  <si>
    <t>PTC 1.1A 16V</t>
  </si>
  <si>
    <t>Fuse:Fuse_1206_3216Metric</t>
  </si>
  <si>
    <t>https://www.littelfuse.com/assetdocs/littelfuse-ptc-1206l-datasheet?assetguid=2b6a1515-d4ee-4c83-8bd4-152b4901b8f5</t>
  </si>
  <si>
    <t>USB-C TYPE-C-31-M-12</t>
  </si>
  <si>
    <t>ESP32_IoT_Custom:USB_C_HRO_Custom</t>
  </si>
  <si>
    <t>https://www.krhro.com/Product-Details/726.html</t>
  </si>
  <si>
    <t>External 3V3 / GPIO</t>
  </si>
  <si>
    <t>Connector_PinHeader_2.54mm:PinHeader_1x04_P2.54mm_Vertical</t>
  </si>
  <si>
    <t>https://www.samtec.com/products/tsw-104-07-g-s</t>
  </si>
  <si>
    <t>MMBT3904</t>
  </si>
  <si>
    <t>Package_TO_SOT_SMD:SOT-23</t>
  </si>
  <si>
    <t>https://www.onsemi.com/pdf/datasheet/mmbt3904lt1-d.pdf</t>
  </si>
  <si>
    <t>Resistor_SMD:R_0603_1608Metric</t>
  </si>
  <si>
    <t>https://yageogroup.com/component-documentation/download/specsheet/RC0603FR-075K1L</t>
  </si>
  <si>
    <t>R3,R4,R11,R12</t>
  </si>
  <si>
    <t>https://yageogroup.com/component-documentation/download/specsheet/RC0603FR-0710KL</t>
  </si>
  <si>
    <t>https://yageogroup.com/component-documentation/download/specsheet/RC0603FR-074K7L</t>
  </si>
  <si>
    <t>https://yageogroup.com/component-documentation/download/specsheet/RC0603FR-071KL</t>
  </si>
  <si>
    <t>https://yageogroup.com/component-documentation/download/specsheet/RC0603FR-0722K1L</t>
  </si>
  <si>
    <t>https://yageogroup.com/component-documentation/download/specsheet/RC0603FR-0747K5L</t>
  </si>
  <si>
    <t>Button_Switch_THT:SW_PUSH_6mm</t>
  </si>
  <si>
    <t>https://components.omron.com/us-en/datasheet_pdf/A070-E1.pdf</t>
  </si>
  <si>
    <t>ESP32-WROOM-32E</t>
  </si>
  <si>
    <t>ESP32_IoT_Custom:ESP32-WROOM-32E_Custom</t>
  </si>
  <si>
    <t>https://documentation.espressif.com/esp32-wroom-32e_esp32-wroom-32ue_datasheet_en.html</t>
  </si>
  <si>
    <t>CP2102N-A02-GQFN24</t>
  </si>
  <si>
    <t>Controller:QFN24_4x4mm_P0.5mm_CP2102N</t>
  </si>
  <si>
    <t>https://www.silabs.com/documents/public/data-sheets/cp2102n-datasheet.pdf</t>
  </si>
  <si>
    <t>Silicon Labs</t>
  </si>
  <si>
    <t>Controller:AP7361C_UDFN3030_8E</t>
  </si>
  <si>
    <t>https://www.diodes.com/datasheet/download/AP7361C.pdf</t>
  </si>
  <si>
    <t>Diodes Incorporated</t>
  </si>
  <si>
    <t>Sensor_Humidity:Sensirion_DFN-8-1EP_2.5x2.5mm_P0.5mm_EP1.1x1.7mm</t>
  </si>
  <si>
    <t>https://sensirion.com/media/documents/213E6A3B/63A5A569/Datasheet_SHT3x_DIS.pdf</t>
  </si>
  <si>
    <t>ESP32 IoT Sensor Controller — Bill of Materials</t>
  </si>
  <si>
    <t>Project: ESP32_IoT_Sensor_Controller</t>
  </si>
  <si>
    <t>Design Tool: KiCad 10 | PCB: 2-Layer</t>
  </si>
  <si>
    <t>Status: Design completed; manufacturing and physical testing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</si>
</sst>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253847"/>
      <name val="Arial"/>
    </font>
    <font>
      <b/>
      <sz val="16"/>
      <color rgb="FF233E55"/>
      <name val="Arial"/>
    </font>
    <font>
      <b/>
      <sz val="10"/>
      <color rgb="FF253847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DF2"/>
      </patternFill>
    </fill>
    <fill>
      <patternFill patternType="solid">
        <fgColor rgb="FF233E55"/>
      </patternFill>
    </fill>
  </fills>
  <borders count="2">
    <border>
      <left/>
      <right/>
      <top/>
      <bottom/>
      <diagonal/>
    </border>
    <border>
      <left/>
      <right/>
      <top/>
      <bottom style="thin">
        <color rgb="FF7C9AA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 wrapText="1"/>
    </xf>
    <xf numFmtId="0" fontId="0" fillId="0" borderId="0" xfId="0" applyNumberFormat="1"/>
    <xf numFmtId="3" fontId="1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2A250D19-DA56-45FC-A245-D82AD9B9167B}" autoFormatId="16" applyNumberFormats="0" applyBorderFormats="0" applyFontFormats="0" applyPatternFormats="0" applyAlignmentFormats="0" applyWidthHeightFormats="0">
  <queryTableRefresh nextId="15">
    <queryTableFields count="7">
      <queryTableField id="8" name="Reference" tableColumnId="8"/>
      <queryTableField id="9" name="Qty" tableColumnId="9"/>
      <queryTableField id="10" name="Value" tableColumnId="10"/>
      <queryTableField id="11" name="Footprint" tableColumnId="11"/>
      <queryTableField id="12" name="Datasheet" tableColumnId="12"/>
      <queryTableField id="13" name="Manufacturer" tableColumnId="13"/>
      <queryTableField id="14" name="MPN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jectBOM" displayName="ProjectBOM" ref="A8:G38" totalsRowShown="0">
  <autoFilter ref="A8:G38" xr:uid="{00000000-0009-0000-0100-000002000000}"/>
  <tableColumns count="7">
    <tableColumn id="1" xr3:uid="{00000000-0010-0000-0100-000001000000}" name="Reference" dataDxfId="12">
      <calculatedColumnFormula>KiCad_Raw_Data!A2</calculatedColumnFormula>
    </tableColumn>
    <tableColumn id="2" xr3:uid="{00000000-0010-0000-0100-000002000000}" name="Qty" dataDxfId="10">
      <calculatedColumnFormula>KiCad_Raw_Data!B2</calculatedColumnFormula>
    </tableColumn>
    <tableColumn id="3" xr3:uid="{00000000-0010-0000-0100-000003000000}" name="Value" dataDxfId="11">
      <calculatedColumnFormula>KiCad_Raw_Data!C2</calculatedColumnFormula>
    </tableColumn>
    <tableColumn id="4" xr3:uid="{00000000-0010-0000-0100-000004000000}" name="Footprint" dataDxfId="8">
      <calculatedColumnFormula>KiCad_Raw_Data!D2</calculatedColumnFormula>
    </tableColumn>
    <tableColumn id="5" xr3:uid="{00000000-0010-0000-0100-000005000000}" name="Datasheet" dataDxfId="6">
      <calculatedColumnFormula>IF(KiCad_Raw_Data!E2="","",HYPERLINK(KiCad_Raw_Data!E2,"Datasheet"))</calculatedColumnFormula>
    </tableColumn>
    <tableColumn id="6" xr3:uid="{00000000-0010-0000-0100-000006000000}" name="Manufacturer" dataDxfId="7">
      <calculatedColumnFormula>KiCad_Raw_Data!F2</calculatedColumnFormula>
    </tableColumn>
    <tableColumn id="7" xr3:uid="{00000000-0010-0000-0100-000007000000}" name="MPN" dataDxfId="9">
      <calculatedColumnFormula>KiCad_Raw_Data!G2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37EA1-256F-44CE-927E-69C517B6BA31}" name="ESP32_IoT_Sensor_Controller" displayName="ESP32_IoT_Sensor_Controller" ref="A1:G22" tableType="queryTable" totalsRowShown="0">
  <autoFilter ref="A1:G22" xr:uid="{F1737EA1-256F-44CE-927E-69C517B6BA31}"/>
  <tableColumns count="7">
    <tableColumn id="8" xr3:uid="{7ABDE745-50EC-4D47-9511-01332DA45F2B}" uniqueName="8" name="Reference" queryTableFieldId="8" dataDxfId="5"/>
    <tableColumn id="9" xr3:uid="{E4798F0C-F43E-498B-958E-735C06844136}" uniqueName="9" name="Qty" queryTableFieldId="9"/>
    <tableColumn id="10" xr3:uid="{5BD86695-ED76-4A38-AFCF-8175156A73E3}" uniqueName="10" name="Value" queryTableFieldId="10" dataDxfId="4"/>
    <tableColumn id="11" xr3:uid="{0E281092-4D2B-45BB-A851-F0176DB6921D}" uniqueName="11" name="Footprint" queryTableFieldId="11" dataDxfId="3"/>
    <tableColumn id="12" xr3:uid="{669B804A-1C35-446F-83A7-8FB7B7BAF3E7}" uniqueName="12" name="Datasheet" queryTableFieldId="12" dataDxfId="2"/>
    <tableColumn id="13" xr3:uid="{2B181DC3-49B6-4F97-AAB1-B4B40BBDC430}" uniqueName="13" name="Manufacturer" queryTableFieldId="13" dataDxfId="1"/>
    <tableColumn id="14" xr3:uid="{3BE01A42-9DF4-44BE-BD90-FC1DDF251A8D}" uniqueName="14" name="MP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5869A"/>
    <pageSetUpPr fitToPage="1"/>
  </sheetPr>
  <dimension ref="A1:G38"/>
  <sheetViews>
    <sheetView showGridLines="0" tabSelected="1" workbookViewId="0">
      <pane ySplit="8" topLeftCell="A9" activePane="bottomLeft" state="frozen"/>
      <selection pane="bottomLeft" sqref="A1:G29"/>
    </sheetView>
  </sheetViews>
  <sheetFormatPr defaultRowHeight="13.8"/>
  <cols>
    <col min="1" max="1" width="27" customWidth="1"/>
    <col min="2" max="2" width="9" customWidth="1"/>
    <col min="3" max="3" width="22" customWidth="1"/>
    <col min="4" max="4" width="42" customWidth="1"/>
    <col min="5" max="5" width="13" customWidth="1"/>
    <col min="6" max="6" width="22" customWidth="1"/>
    <col min="7" max="7" width="29.8984375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30" customHeight="1">
      <c r="A2" s="2" t="s">
        <v>118</v>
      </c>
      <c r="B2" s="1"/>
      <c r="C2" s="1"/>
      <c r="D2" s="1"/>
      <c r="E2" s="1"/>
      <c r="F2" s="1"/>
      <c r="G2" s="1"/>
    </row>
    <row r="3" spans="1:7">
      <c r="A3" s="3"/>
      <c r="B3" s="3"/>
      <c r="C3" s="3"/>
      <c r="D3" s="3"/>
      <c r="E3" s="3"/>
      <c r="F3" s="3"/>
      <c r="G3" s="3"/>
    </row>
    <row r="4" spans="1:7">
      <c r="A4" t="s">
        <v>119</v>
      </c>
      <c r="B4" s="1"/>
      <c r="C4" s="1"/>
      <c r="D4" s="1"/>
      <c r="E4" s="1"/>
      <c r="F4" s="1"/>
      <c r="G4" s="1"/>
    </row>
    <row r="5" spans="1:7">
      <c r="A5" t="s">
        <v>120</v>
      </c>
      <c r="B5" s="1"/>
      <c r="C5" s="1"/>
      <c r="D5" s="1"/>
      <c r="E5" s="1"/>
      <c r="F5" s="1"/>
      <c r="G5" s="1"/>
    </row>
    <row r="6" spans="1:7">
      <c r="A6" t="s">
        <v>121</v>
      </c>
      <c r="B6" s="1"/>
      <c r="C6" s="1"/>
      <c r="D6" s="1"/>
      <c r="E6" s="1"/>
      <c r="F6" s="1"/>
      <c r="G6" s="1"/>
    </row>
    <row r="7" spans="1:7" ht="27" customHeight="1">
      <c r="A7" s="4" t="s">
        <v>0</v>
      </c>
      <c r="B7" s="5">
        <f>SUM(ProjectBOM[Qty])</f>
        <v>36</v>
      </c>
      <c r="C7" s="1"/>
      <c r="D7" s="1"/>
      <c r="E7" s="1"/>
      <c r="F7" s="1"/>
      <c r="G7" s="1"/>
    </row>
    <row r="8" spans="1:7" ht="28.95" customHeight="1">
      <c r="A8" s="6" t="s">
        <v>1</v>
      </c>
      <c r="B8" s="6" t="s">
        <v>2</v>
      </c>
      <c r="C8" s="6" t="s">
        <v>3</v>
      </c>
      <c r="D8" s="6" t="s">
        <v>4</v>
      </c>
      <c r="E8" s="6" t="s">
        <v>5</v>
      </c>
      <c r="F8" s="6" t="s">
        <v>6</v>
      </c>
      <c r="G8" s="6" t="s">
        <v>7</v>
      </c>
    </row>
    <row r="9" spans="1:7" ht="28.05" customHeight="1">
      <c r="A9" s="7" t="str">
        <f>KiCad_Raw_Data!A2</f>
        <v>C1,C4,C8,C9</v>
      </c>
      <c r="B9" s="9">
        <f>KiCad_Raw_Data!B2</f>
        <v>4</v>
      </c>
      <c r="C9" s="7" t="str">
        <f>KiCad_Raw_Data!C2</f>
        <v>100nF</v>
      </c>
      <c r="D9" s="7" t="str">
        <f>KiCad_Raw_Data!D2</f>
        <v>Capacitor_SMD:C_0603_1608Metric</v>
      </c>
      <c r="E9" s="1" t="str">
        <f>IF(KiCad_Raw_Data!E2="","",HYPERLINK(KiCad_Raw_Data!E2,"Datasheet"))</f>
        <v>Datasheet</v>
      </c>
      <c r="F9" s="7" t="str">
        <f>KiCad_Raw_Data!F2</f>
        <v>TDK</v>
      </c>
      <c r="G9" s="7" t="str">
        <f>KiCad_Raw_Data!G2</f>
        <v>C1608X7R1H104K080AA</v>
      </c>
    </row>
    <row r="10" spans="1:7" ht="28.05" customHeight="1">
      <c r="A10" s="7" t="str">
        <f>KiCad_Raw_Data!A3</f>
        <v>C2,C5,C6,C7,C10</v>
      </c>
      <c r="B10" s="9">
        <f>KiCad_Raw_Data!B3</f>
        <v>5</v>
      </c>
      <c r="C10" s="7" t="str">
        <f>KiCad_Raw_Data!C3</f>
        <v>10uF</v>
      </c>
      <c r="D10" s="7" t="str">
        <f>KiCad_Raw_Data!D3</f>
        <v>Capacitor_SMD:C_1206_3216Metric</v>
      </c>
      <c r="E10" s="1" t="str">
        <f>IF(KiCad_Raw_Data!E3="","",HYPERLINK(KiCad_Raw_Data!E3,"Datasheet"))</f>
        <v>Datasheet</v>
      </c>
      <c r="F10" s="7" t="str">
        <f>KiCad_Raw_Data!F3</f>
        <v>Samsung Electro-Mechanics</v>
      </c>
      <c r="G10" s="7" t="str">
        <f>KiCad_Raw_Data!G3</f>
        <v>CL31B106KAHNNNE</v>
      </c>
    </row>
    <row r="11" spans="1:7" ht="28.05" customHeight="1">
      <c r="A11" s="7" t="str">
        <f>KiCad_Raw_Data!A4</f>
        <v>C3</v>
      </c>
      <c r="B11" s="9">
        <f>KiCad_Raw_Data!B4</f>
        <v>1</v>
      </c>
      <c r="C11" s="7" t="str">
        <f>KiCad_Raw_Data!C4</f>
        <v>1uF</v>
      </c>
      <c r="D11" s="7" t="str">
        <f>KiCad_Raw_Data!D4</f>
        <v>Capacitor_SMD:C_0603_1608Metric</v>
      </c>
      <c r="E11" s="1" t="str">
        <f>IF(KiCad_Raw_Data!E4="","",HYPERLINK(KiCad_Raw_Data!E4,"Datasheet"))</f>
        <v>Datasheet</v>
      </c>
      <c r="F11" s="7" t="str">
        <f>KiCad_Raw_Data!F4</f>
        <v>TDK</v>
      </c>
      <c r="G11" s="7" t="str">
        <f>KiCad_Raw_Data!G4</f>
        <v>C1608X5R1A105K080AC</v>
      </c>
    </row>
    <row r="12" spans="1:7" ht="28.05" customHeight="1">
      <c r="A12" s="7" t="str">
        <f>KiCad_Raw_Data!A5</f>
        <v>D1</v>
      </c>
      <c r="B12" s="9">
        <f>KiCad_Raw_Data!B5</f>
        <v>1</v>
      </c>
      <c r="C12" s="7" t="str">
        <f>KiCad_Raw_Data!C5</f>
        <v>LED Green</v>
      </c>
      <c r="D12" s="7" t="str">
        <f>KiCad_Raw_Data!D5</f>
        <v>LED_SMD:LED_0603_1608Metric</v>
      </c>
      <c r="E12" s="1" t="str">
        <f>IF(KiCad_Raw_Data!E5="","",HYPERLINK(KiCad_Raw_Data!E5,"Datasheet"))</f>
        <v>Datasheet</v>
      </c>
      <c r="F12" s="7" t="str">
        <f>KiCad_Raw_Data!F5</f>
        <v>Kingbright</v>
      </c>
      <c r="G12" s="7" t="str">
        <f>KiCad_Raw_Data!G5</f>
        <v>APT1608SGC</v>
      </c>
    </row>
    <row r="13" spans="1:7" ht="28.05" customHeight="1">
      <c r="A13" s="7" t="str">
        <f>KiCad_Raw_Data!A6</f>
        <v>D2</v>
      </c>
      <c r="B13" s="9">
        <f>KiCad_Raw_Data!B6</f>
        <v>1</v>
      </c>
      <c r="C13" s="7" t="str">
        <f>KiCad_Raw_Data!C6</f>
        <v>SMBJ5.0A</v>
      </c>
      <c r="D13" s="7" t="str">
        <f>KiCad_Raw_Data!D6</f>
        <v>Diode_SMD:D_SMB</v>
      </c>
      <c r="E13" s="1" t="str">
        <f>IF(KiCad_Raw_Data!E6="","",HYPERLINK(KiCad_Raw_Data!E6,"Datasheet"))</f>
        <v>Datasheet</v>
      </c>
      <c r="F13" s="7" t="str">
        <f>KiCad_Raw_Data!F6</f>
        <v>STMicroelectronics</v>
      </c>
      <c r="G13" s="7" t="str">
        <f>KiCad_Raw_Data!G6</f>
        <v>SMBJ5.0A-TR</v>
      </c>
    </row>
    <row r="14" spans="1:7" ht="28.05" customHeight="1">
      <c r="A14" s="7" t="str">
        <f>KiCad_Raw_Data!A7</f>
        <v>D3</v>
      </c>
      <c r="B14" s="9">
        <f>KiCad_Raw_Data!B7</f>
        <v>1</v>
      </c>
      <c r="C14" s="7" t="str">
        <f>KiCad_Raw_Data!C7</f>
        <v>USBLC6-2SC6</v>
      </c>
      <c r="D14" s="7" t="str">
        <f>KiCad_Raw_Data!D7</f>
        <v>Package_TO_SOT_SMD:SOT-23-6</v>
      </c>
      <c r="E14" s="1" t="str">
        <f>IF(KiCad_Raw_Data!E7="","",HYPERLINK(KiCad_Raw_Data!E7,"Datasheet"))</f>
        <v>Datasheet</v>
      </c>
      <c r="F14" s="7" t="str">
        <f>KiCad_Raw_Data!F7</f>
        <v>STMicroelectronics</v>
      </c>
      <c r="G14" s="7" t="str">
        <f>KiCad_Raw_Data!G7</f>
        <v>USBLC6-2SC6</v>
      </c>
    </row>
    <row r="15" spans="1:7" ht="28.05" customHeight="1">
      <c r="A15" s="7" t="str">
        <f>KiCad_Raw_Data!A8</f>
        <v>F1</v>
      </c>
      <c r="B15" s="9">
        <f>KiCad_Raw_Data!B8</f>
        <v>1</v>
      </c>
      <c r="C15" s="7" t="str">
        <f>KiCad_Raw_Data!C8</f>
        <v>PTC 1.1A 16V</v>
      </c>
      <c r="D15" s="7" t="str">
        <f>KiCad_Raw_Data!D8</f>
        <v>Fuse:Fuse_1206_3216Metric</v>
      </c>
      <c r="E15" s="1" t="str">
        <f>IF(KiCad_Raw_Data!E8="","",HYPERLINK(KiCad_Raw_Data!E8,"Datasheet"))</f>
        <v>Datasheet</v>
      </c>
      <c r="F15" s="7" t="str">
        <f>KiCad_Raw_Data!F8</f>
        <v>Littelfuse</v>
      </c>
      <c r="G15" s="7" t="str">
        <f>KiCad_Raw_Data!G8</f>
        <v>1206L110/16WR</v>
      </c>
    </row>
    <row r="16" spans="1:7" ht="28.05" customHeight="1">
      <c r="A16" s="7" t="str">
        <f>KiCad_Raw_Data!A9</f>
        <v>J1</v>
      </c>
      <c r="B16" s="9">
        <f>KiCad_Raw_Data!B9</f>
        <v>1</v>
      </c>
      <c r="C16" s="7" t="str">
        <f>KiCad_Raw_Data!C9</f>
        <v>USB-C TYPE-C-31-M-12</v>
      </c>
      <c r="D16" s="7" t="str">
        <f>KiCad_Raw_Data!D9</f>
        <v>ESP32_IoT_Custom:USB_C_HRO_Custom</v>
      </c>
      <c r="E16" s="1" t="str">
        <f>IF(KiCad_Raw_Data!E9="","",HYPERLINK(KiCad_Raw_Data!E9,"Datasheet"))</f>
        <v>Datasheet</v>
      </c>
      <c r="F16" s="7" t="str">
        <f>KiCad_Raw_Data!F9</f>
        <v>HRO</v>
      </c>
      <c r="G16" s="7" t="str">
        <f>KiCad_Raw_Data!G9</f>
        <v>TYPE-C-31-M-12</v>
      </c>
    </row>
    <row r="17" spans="1:7" ht="28.05" customHeight="1">
      <c r="A17" s="7" t="str">
        <f>KiCad_Raw_Data!A10</f>
        <v>J2</v>
      </c>
      <c r="B17" s="9">
        <f>KiCad_Raw_Data!B10</f>
        <v>1</v>
      </c>
      <c r="C17" s="7" t="str">
        <f>KiCad_Raw_Data!C10</f>
        <v>External 3V3 / GPIO</v>
      </c>
      <c r="D17" s="7" t="str">
        <f>KiCad_Raw_Data!D10</f>
        <v>Connector_PinHeader_2.54mm:PinHeader_1x04_P2.54mm_Vertical</v>
      </c>
      <c r="E17" s="1" t="str">
        <f>IF(KiCad_Raw_Data!E10="","",HYPERLINK(KiCad_Raw_Data!E10,"Datasheet"))</f>
        <v>Datasheet</v>
      </c>
      <c r="F17" s="7" t="str">
        <f>KiCad_Raw_Data!F10</f>
        <v>Samtec</v>
      </c>
      <c r="G17" s="7" t="str">
        <f>KiCad_Raw_Data!G10</f>
        <v>TSW-104-07-G-S</v>
      </c>
    </row>
    <row r="18" spans="1:7" ht="28.05" customHeight="1">
      <c r="A18" s="7" t="str">
        <f>KiCad_Raw_Data!A11</f>
        <v>Q1,Q2</v>
      </c>
      <c r="B18" s="9">
        <f>KiCad_Raw_Data!B11</f>
        <v>2</v>
      </c>
      <c r="C18" s="7" t="str">
        <f>KiCad_Raw_Data!C11</f>
        <v>MMBT3904</v>
      </c>
      <c r="D18" s="7" t="str">
        <f>KiCad_Raw_Data!D11</f>
        <v>Package_TO_SOT_SMD:SOT-23</v>
      </c>
      <c r="E18" s="1" t="str">
        <f>IF(KiCad_Raw_Data!E11="","",HYPERLINK(KiCad_Raw_Data!E11,"Datasheet"))</f>
        <v>Datasheet</v>
      </c>
      <c r="F18" s="7" t="str">
        <f>KiCad_Raw_Data!F11</f>
        <v>onsemi</v>
      </c>
      <c r="G18" s="7" t="str">
        <f>KiCad_Raw_Data!G11</f>
        <v>MMBT3904LT1G</v>
      </c>
    </row>
    <row r="19" spans="1:7" ht="28.05" customHeight="1">
      <c r="A19" s="7" t="str">
        <f>KiCad_Raw_Data!A12</f>
        <v>R1,R2</v>
      </c>
      <c r="B19" s="9">
        <f>KiCad_Raw_Data!B12</f>
        <v>2</v>
      </c>
      <c r="C19" s="7" t="str">
        <f>KiCad_Raw_Data!C12</f>
        <v>5.1k</v>
      </c>
      <c r="D19" s="7" t="str">
        <f>KiCad_Raw_Data!D12</f>
        <v>Resistor_SMD:R_0603_1608Metric</v>
      </c>
      <c r="E19" s="1" t="str">
        <f>IF(KiCad_Raw_Data!E12="","",HYPERLINK(KiCad_Raw_Data!E12,"Datasheet"))</f>
        <v>Datasheet</v>
      </c>
      <c r="F19" s="7" t="str">
        <f>KiCad_Raw_Data!F12</f>
        <v>YAGEO</v>
      </c>
      <c r="G19" s="7" t="str">
        <f>KiCad_Raw_Data!G12</f>
        <v>RC0603FR-075K1L</v>
      </c>
    </row>
    <row r="20" spans="1:7" ht="28.05" customHeight="1">
      <c r="A20" s="7" t="str">
        <f>KiCad_Raw_Data!A13</f>
        <v>R3,R4,R11,R12</v>
      </c>
      <c r="B20" s="9">
        <f>KiCad_Raw_Data!B13</f>
        <v>4</v>
      </c>
      <c r="C20" s="7" t="str">
        <f>KiCad_Raw_Data!C13</f>
        <v>10k</v>
      </c>
      <c r="D20" s="7" t="str">
        <f>KiCad_Raw_Data!D13</f>
        <v>Resistor_SMD:R_0603_1608Metric</v>
      </c>
      <c r="E20" s="1" t="str">
        <f>IF(KiCad_Raw_Data!E13="","",HYPERLINK(KiCad_Raw_Data!E13,"Datasheet"))</f>
        <v>Datasheet</v>
      </c>
      <c r="F20" s="7" t="str">
        <f>KiCad_Raw_Data!F13</f>
        <v>YAGEO</v>
      </c>
      <c r="G20" s="7" t="str">
        <f>KiCad_Raw_Data!G13</f>
        <v>RC0603FR-0710KL</v>
      </c>
    </row>
    <row r="21" spans="1:7" ht="28.05" customHeight="1">
      <c r="A21" s="7" t="str">
        <f>KiCad_Raw_Data!A14</f>
        <v>R5,R6</v>
      </c>
      <c r="B21" s="9">
        <f>KiCad_Raw_Data!B14</f>
        <v>2</v>
      </c>
      <c r="C21" s="7" t="str">
        <f>KiCad_Raw_Data!C14</f>
        <v>4.7k</v>
      </c>
      <c r="D21" s="7" t="str">
        <f>KiCad_Raw_Data!D14</f>
        <v>Resistor_SMD:R_0603_1608Metric</v>
      </c>
      <c r="E21" s="1" t="str">
        <f>IF(KiCad_Raw_Data!E14="","",HYPERLINK(KiCad_Raw_Data!E14,"Datasheet"))</f>
        <v>Datasheet</v>
      </c>
      <c r="F21" s="7" t="str">
        <f>KiCad_Raw_Data!F14</f>
        <v>YAGEO</v>
      </c>
      <c r="G21" s="7" t="str">
        <f>KiCad_Raw_Data!G14</f>
        <v>RC0603FR-074K7L</v>
      </c>
    </row>
    <row r="22" spans="1:7" ht="28.05" customHeight="1">
      <c r="A22" s="7" t="str">
        <f>KiCad_Raw_Data!A15</f>
        <v>R7,R10</v>
      </c>
      <c r="B22" s="9">
        <f>KiCad_Raw_Data!B15</f>
        <v>2</v>
      </c>
      <c r="C22" s="7" t="str">
        <f>KiCad_Raw_Data!C15</f>
        <v>1k</v>
      </c>
      <c r="D22" s="7" t="str">
        <f>KiCad_Raw_Data!D15</f>
        <v>Resistor_SMD:R_0603_1608Metric</v>
      </c>
      <c r="E22" s="1" t="str">
        <f>IF(KiCad_Raw_Data!E15="","",HYPERLINK(KiCad_Raw_Data!E15,"Datasheet"))</f>
        <v>Datasheet</v>
      </c>
      <c r="F22" s="7" t="str">
        <f>KiCad_Raw_Data!F15</f>
        <v>YAGEO</v>
      </c>
      <c r="G22" s="7" t="str">
        <f>KiCad_Raw_Data!G15</f>
        <v>RC0603FR-071KL</v>
      </c>
    </row>
    <row r="23" spans="1:7" ht="28.05" customHeight="1">
      <c r="A23" s="7" t="str">
        <f>KiCad_Raw_Data!A16</f>
        <v>R8</v>
      </c>
      <c r="B23" s="9">
        <f>KiCad_Raw_Data!B16</f>
        <v>1</v>
      </c>
      <c r="C23" s="7" t="str">
        <f>KiCad_Raw_Data!C16</f>
        <v>22.1k</v>
      </c>
      <c r="D23" s="7" t="str">
        <f>KiCad_Raw_Data!D16</f>
        <v>Resistor_SMD:R_0603_1608Metric</v>
      </c>
      <c r="E23" s="1" t="str">
        <f>IF(KiCad_Raw_Data!E16="","",HYPERLINK(KiCad_Raw_Data!E16,"Datasheet"))</f>
        <v>Datasheet</v>
      </c>
      <c r="F23" s="7" t="str">
        <f>KiCad_Raw_Data!F16</f>
        <v>YAGEO</v>
      </c>
      <c r="G23" s="7" t="str">
        <f>KiCad_Raw_Data!G16</f>
        <v>RC0603FR-0722K1L</v>
      </c>
    </row>
    <row r="24" spans="1:7" ht="28.05" customHeight="1">
      <c r="A24" s="7" t="str">
        <f>KiCad_Raw_Data!A17</f>
        <v>R9</v>
      </c>
      <c r="B24" s="9">
        <f>KiCad_Raw_Data!B17</f>
        <v>1</v>
      </c>
      <c r="C24" s="7" t="str">
        <f>KiCad_Raw_Data!C17</f>
        <v>47.5k</v>
      </c>
      <c r="D24" s="7" t="str">
        <f>KiCad_Raw_Data!D17</f>
        <v>Resistor_SMD:R_0603_1608Metric</v>
      </c>
      <c r="E24" s="1" t="str">
        <f>IF(KiCad_Raw_Data!E17="","",HYPERLINK(KiCad_Raw_Data!E17,"Datasheet"))</f>
        <v>Datasheet</v>
      </c>
      <c r="F24" s="7" t="str">
        <f>KiCad_Raw_Data!F17</f>
        <v>YAGEO</v>
      </c>
      <c r="G24" s="7" t="str">
        <f>KiCad_Raw_Data!G17</f>
        <v>RC0603FR-0747K5L</v>
      </c>
    </row>
    <row r="25" spans="1:7" ht="28.05" customHeight="1">
      <c r="A25" s="7" t="str">
        <f>KiCad_Raw_Data!A18</f>
        <v>SW1,SW2</v>
      </c>
      <c r="B25" s="9">
        <f>KiCad_Raw_Data!B18</f>
        <v>2</v>
      </c>
      <c r="C25" s="7" t="str">
        <f>KiCad_Raw_Data!C18</f>
        <v>B3F-1000</v>
      </c>
      <c r="D25" s="7" t="str">
        <f>KiCad_Raw_Data!D18</f>
        <v>Button_Switch_THT:SW_PUSH_6mm</v>
      </c>
      <c r="E25" s="1" t="str">
        <f>IF(KiCad_Raw_Data!E18="","",HYPERLINK(KiCad_Raw_Data!E18,"Datasheet"))</f>
        <v>Datasheet</v>
      </c>
      <c r="F25" s="7" t="str">
        <f>KiCad_Raw_Data!F18</f>
        <v>Omron</v>
      </c>
      <c r="G25" s="7" t="str">
        <f>KiCad_Raw_Data!G18</f>
        <v>B3F-1000</v>
      </c>
    </row>
    <row r="26" spans="1:7" ht="28.05" customHeight="1">
      <c r="A26" s="7" t="str">
        <f>KiCad_Raw_Data!A19</f>
        <v>U1</v>
      </c>
      <c r="B26" s="9">
        <f>KiCad_Raw_Data!B19</f>
        <v>1</v>
      </c>
      <c r="C26" s="7" t="str">
        <f>KiCad_Raw_Data!C19</f>
        <v>ESP32-WROOM-32E</v>
      </c>
      <c r="D26" s="7" t="str">
        <f>KiCad_Raw_Data!D19</f>
        <v>ESP32_IoT_Custom:ESP32-WROOM-32E_Custom</v>
      </c>
      <c r="E26" s="1" t="str">
        <f>IF(KiCad_Raw_Data!E19="","",HYPERLINK(KiCad_Raw_Data!E19,"Datasheet"))</f>
        <v>Datasheet</v>
      </c>
      <c r="F26" s="7" t="str">
        <f>KiCad_Raw_Data!F19</f>
        <v>Espressif</v>
      </c>
      <c r="G26" s="7" t="str">
        <f>KiCad_Raw_Data!G19</f>
        <v>ESP32-WROOM-32E-N4</v>
      </c>
    </row>
    <row r="27" spans="1:7" ht="28.05" customHeight="1">
      <c r="A27" s="7" t="str">
        <f>KiCad_Raw_Data!A20</f>
        <v>U2</v>
      </c>
      <c r="B27" s="9">
        <f>KiCad_Raw_Data!B20</f>
        <v>1</v>
      </c>
      <c r="C27" s="7" t="str">
        <f>KiCad_Raw_Data!C20</f>
        <v>CP2102N-A02-GQFN24</v>
      </c>
      <c r="D27" s="7" t="str">
        <f>KiCad_Raw_Data!D20</f>
        <v>Controller:QFN24_4x4mm_P0.5mm_CP2102N</v>
      </c>
      <c r="E27" s="1" t="str">
        <f>IF(KiCad_Raw_Data!E20="","",HYPERLINK(KiCad_Raw_Data!E20,"Datasheet"))</f>
        <v>Datasheet</v>
      </c>
      <c r="F27" s="7" t="str">
        <f>KiCad_Raw_Data!F20</f>
        <v>Silicon Labs</v>
      </c>
      <c r="G27" s="7" t="str">
        <f>KiCad_Raw_Data!G20</f>
        <v>CP2102N-A02-GQFN24R</v>
      </c>
    </row>
    <row r="28" spans="1:7" ht="28.05" customHeight="1">
      <c r="A28" s="7" t="str">
        <f>KiCad_Raw_Data!A21</f>
        <v>U3</v>
      </c>
      <c r="B28" s="9">
        <f>KiCad_Raw_Data!B21</f>
        <v>1</v>
      </c>
      <c r="C28" s="7" t="str">
        <f>KiCad_Raw_Data!C21</f>
        <v>AP7361C-33FGE-7</v>
      </c>
      <c r="D28" s="7" t="str">
        <f>KiCad_Raw_Data!D21</f>
        <v>Controller:AP7361C_UDFN3030_8E</v>
      </c>
      <c r="E28" s="1" t="str">
        <f>IF(KiCad_Raw_Data!E21="","",HYPERLINK(KiCad_Raw_Data!E21,"Datasheet"))</f>
        <v>Datasheet</v>
      </c>
      <c r="F28" s="7" t="str">
        <f>KiCad_Raw_Data!F21</f>
        <v>Diodes Incorporated</v>
      </c>
      <c r="G28" s="7" t="str">
        <f>KiCad_Raw_Data!G21</f>
        <v>AP7361C-33FGE-7</v>
      </c>
    </row>
    <row r="29" spans="1:7" ht="28.05" customHeight="1">
      <c r="A29" s="7" t="str">
        <f>KiCad_Raw_Data!A22</f>
        <v>U4</v>
      </c>
      <c r="B29" s="9">
        <f>KiCad_Raw_Data!B22</f>
        <v>1</v>
      </c>
      <c r="C29" s="7" t="str">
        <f>KiCad_Raw_Data!C22</f>
        <v>SHT31-DIS</v>
      </c>
      <c r="D29" s="7" t="str">
        <f>KiCad_Raw_Data!D22</f>
        <v>Sensor_Humidity:Sensirion_DFN-8-1EP_2.5x2.5mm_P0.5mm_EP1.1x1.7mm</v>
      </c>
      <c r="E29" s="1" t="str">
        <f>IF(KiCad_Raw_Data!E22="","",HYPERLINK(KiCad_Raw_Data!E22,"Datasheet"))</f>
        <v>Datasheet</v>
      </c>
      <c r="F29" s="7" t="str">
        <f>KiCad_Raw_Data!F22</f>
        <v>Sensirion</v>
      </c>
      <c r="G29" s="7" t="str">
        <f>KiCad_Raw_Data!G22</f>
        <v>SHT31-DIS-B</v>
      </c>
    </row>
    <row r="30" spans="1:7" ht="28.05" customHeight="1">
      <c r="A30" s="7">
        <f>KiCad_Raw_Data!A23</f>
        <v>0</v>
      </c>
      <c r="B30" s="9">
        <f>KiCad_Raw_Data!B23</f>
        <v>0</v>
      </c>
      <c r="C30" s="7">
        <f>KiCad_Raw_Data!C23</f>
        <v>0</v>
      </c>
      <c r="D30" s="7">
        <f>KiCad_Raw_Data!D23</f>
        <v>0</v>
      </c>
      <c r="E30" s="1" t="str">
        <f>IF(KiCad_Raw_Data!E23="","",HYPERLINK(KiCad_Raw_Data!E23,"Datasheet"))</f>
        <v/>
      </c>
      <c r="F30" s="7">
        <f>KiCad_Raw_Data!F23</f>
        <v>0</v>
      </c>
      <c r="G30" s="7">
        <f>KiCad_Raw_Data!G23</f>
        <v>0</v>
      </c>
    </row>
    <row r="31" spans="1:7" ht="28.05" customHeight="1">
      <c r="A31" s="7">
        <f>KiCad_Raw_Data!A24</f>
        <v>0</v>
      </c>
      <c r="B31" s="9">
        <f>KiCad_Raw_Data!B24</f>
        <v>0</v>
      </c>
      <c r="C31" s="7">
        <f>KiCad_Raw_Data!C24</f>
        <v>0</v>
      </c>
      <c r="D31" s="7">
        <f>KiCad_Raw_Data!D24</f>
        <v>0</v>
      </c>
      <c r="E31" s="1" t="str">
        <f>IF(KiCad_Raw_Data!E24="","",HYPERLINK(KiCad_Raw_Data!E24,"Datasheet"))</f>
        <v/>
      </c>
      <c r="F31" s="7">
        <f>KiCad_Raw_Data!F24</f>
        <v>0</v>
      </c>
      <c r="G31" s="7">
        <f>KiCad_Raw_Data!G24</f>
        <v>0</v>
      </c>
    </row>
    <row r="32" spans="1:7" ht="28.05" customHeight="1">
      <c r="A32" s="7">
        <f>KiCad_Raw_Data!A25</f>
        <v>0</v>
      </c>
      <c r="B32" s="9">
        <f>KiCad_Raw_Data!B25</f>
        <v>0</v>
      </c>
      <c r="C32" s="7">
        <f>KiCad_Raw_Data!C25</f>
        <v>0</v>
      </c>
      <c r="D32" s="7">
        <f>KiCad_Raw_Data!D25</f>
        <v>0</v>
      </c>
      <c r="E32" s="1" t="str">
        <f>IF(KiCad_Raw_Data!E25="","",HYPERLINK(KiCad_Raw_Data!E25,"Datasheet"))</f>
        <v/>
      </c>
      <c r="F32" s="7">
        <f>KiCad_Raw_Data!F25</f>
        <v>0</v>
      </c>
      <c r="G32" s="7">
        <f>KiCad_Raw_Data!G25</f>
        <v>0</v>
      </c>
    </row>
    <row r="33" spans="1:7" ht="28.05" customHeight="1">
      <c r="A33" s="7">
        <f>KiCad_Raw_Data!A26</f>
        <v>0</v>
      </c>
      <c r="B33" s="9">
        <f>KiCad_Raw_Data!B26</f>
        <v>0</v>
      </c>
      <c r="C33" s="7">
        <f>KiCad_Raw_Data!C26</f>
        <v>0</v>
      </c>
      <c r="D33" s="7">
        <f>KiCad_Raw_Data!D26</f>
        <v>0</v>
      </c>
      <c r="E33" s="1" t="str">
        <f>IF(KiCad_Raw_Data!E26="","",HYPERLINK(KiCad_Raw_Data!E26,"Datasheet"))</f>
        <v/>
      </c>
      <c r="F33" s="7">
        <f>KiCad_Raw_Data!F26</f>
        <v>0</v>
      </c>
      <c r="G33" s="7">
        <f>KiCad_Raw_Data!G26</f>
        <v>0</v>
      </c>
    </row>
    <row r="34" spans="1:7" ht="28.05" customHeight="1">
      <c r="A34" s="7">
        <f>KiCad_Raw_Data!A27</f>
        <v>0</v>
      </c>
      <c r="B34" s="9">
        <f>KiCad_Raw_Data!B27</f>
        <v>0</v>
      </c>
      <c r="C34" s="7">
        <f>KiCad_Raw_Data!C27</f>
        <v>0</v>
      </c>
      <c r="D34" s="7">
        <f>KiCad_Raw_Data!D27</f>
        <v>0</v>
      </c>
      <c r="E34" s="1" t="str">
        <f>IF(KiCad_Raw_Data!E27="","",HYPERLINK(KiCad_Raw_Data!E27,"Datasheet"))</f>
        <v/>
      </c>
      <c r="F34" s="7">
        <f>KiCad_Raw_Data!F27</f>
        <v>0</v>
      </c>
      <c r="G34" s="7">
        <f>KiCad_Raw_Data!G27</f>
        <v>0</v>
      </c>
    </row>
    <row r="35" spans="1:7" ht="28.05" customHeight="1">
      <c r="A35" s="7">
        <f>KiCad_Raw_Data!A28</f>
        <v>0</v>
      </c>
      <c r="B35" s="9">
        <f>KiCad_Raw_Data!B28</f>
        <v>0</v>
      </c>
      <c r="C35" s="7">
        <f>KiCad_Raw_Data!C28</f>
        <v>0</v>
      </c>
      <c r="D35" s="7">
        <f>KiCad_Raw_Data!D28</f>
        <v>0</v>
      </c>
      <c r="E35" s="1" t="str">
        <f>IF(KiCad_Raw_Data!E28="","",HYPERLINK(KiCad_Raw_Data!E28,"Datasheet"))</f>
        <v/>
      </c>
      <c r="F35" s="7">
        <f>KiCad_Raw_Data!F28</f>
        <v>0</v>
      </c>
      <c r="G35" s="7">
        <f>KiCad_Raw_Data!G28</f>
        <v>0</v>
      </c>
    </row>
    <row r="36" spans="1:7" ht="28.05" customHeight="1">
      <c r="A36" s="7">
        <f>KiCad_Raw_Data!A29</f>
        <v>0</v>
      </c>
      <c r="B36" s="9">
        <f>KiCad_Raw_Data!B29</f>
        <v>0</v>
      </c>
      <c r="C36" s="7">
        <f>KiCad_Raw_Data!C29</f>
        <v>0</v>
      </c>
      <c r="D36" s="7">
        <f>KiCad_Raw_Data!D29</f>
        <v>0</v>
      </c>
      <c r="E36" s="1" t="str">
        <f>IF(KiCad_Raw_Data!E29="","",HYPERLINK(KiCad_Raw_Data!E29,"Datasheet"))</f>
        <v/>
      </c>
      <c r="F36" s="7">
        <f>KiCad_Raw_Data!F29</f>
        <v>0</v>
      </c>
      <c r="G36" s="7">
        <f>KiCad_Raw_Data!G29</f>
        <v>0</v>
      </c>
    </row>
    <row r="37" spans="1:7" ht="28.05" customHeight="1">
      <c r="A37" s="7">
        <f>KiCad_Raw_Data!A30</f>
        <v>0</v>
      </c>
      <c r="B37" s="9">
        <f>KiCad_Raw_Data!B30</f>
        <v>0</v>
      </c>
      <c r="C37" s="7">
        <f>KiCad_Raw_Data!C30</f>
        <v>0</v>
      </c>
      <c r="D37" s="7">
        <f>KiCad_Raw_Data!D30</f>
        <v>0</v>
      </c>
      <c r="E37" s="1" t="str">
        <f>IF(KiCad_Raw_Data!E30="","",HYPERLINK(KiCad_Raw_Data!E30,"Datasheet"))</f>
        <v/>
      </c>
      <c r="F37" s="7">
        <f>KiCad_Raw_Data!F30</f>
        <v>0</v>
      </c>
      <c r="G37" s="7">
        <f>KiCad_Raw_Data!G30</f>
        <v>0</v>
      </c>
    </row>
    <row r="38" spans="1:7" ht="28.05" customHeight="1">
      <c r="A38" s="7">
        <f>KiCad_Raw_Data!A31</f>
        <v>0</v>
      </c>
      <c r="B38" s="9">
        <f>KiCad_Raw_Data!B31</f>
        <v>0</v>
      </c>
      <c r="C38" s="7">
        <f>KiCad_Raw_Data!C31</f>
        <v>0</v>
      </c>
      <c r="D38" s="7">
        <f>KiCad_Raw_Data!D31</f>
        <v>0</v>
      </c>
      <c r="E38" s="1" t="str">
        <f>IF(KiCad_Raw_Data!E31="","",HYPERLINK(KiCad_Raw_Data!E31,"Datasheet"))</f>
        <v/>
      </c>
      <c r="F38" s="7">
        <f>KiCad_Raw_Data!F31</f>
        <v>0</v>
      </c>
      <c r="G38" s="7">
        <f>KiCad_Raw_Data!G31</f>
        <v>0</v>
      </c>
    </row>
  </sheetData>
  <dataValidations count="1">
    <dataValidation type="whole" sqref="B9:B38" xr:uid="{00000000-0002-0000-0100-000000000000}">
      <formula1>1</formula1>
      <formula2>1000000</formula2>
    </dataValidation>
  </dataValidations>
  <pageMargins left="0.25" right="0.25" top="0.75" bottom="0.75" header="0.3" footer="0.3"/>
  <pageSetup paperSize="9" scale="66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B93C-5739-450A-B3C7-368341C998FD}">
  <dimension ref="A1:G22"/>
  <sheetViews>
    <sheetView workbookViewId="0">
      <selection sqref="A1:G22"/>
    </sheetView>
  </sheetViews>
  <sheetFormatPr defaultRowHeight="13.8"/>
  <cols>
    <col min="1" max="1" width="15.5" bestFit="1" customWidth="1"/>
    <col min="2" max="2" width="6" bestFit="1" customWidth="1"/>
    <col min="3" max="3" width="21.296875" bestFit="1" customWidth="1"/>
    <col min="4" max="4" width="63.19921875" bestFit="1" customWidth="1"/>
    <col min="5" max="5" width="80.796875" bestFit="1" customWidth="1"/>
    <col min="6" max="6" width="24" bestFit="1" customWidth="1"/>
    <col min="7" max="7" width="21.796875" bestFit="1" customWidth="1"/>
    <col min="8" max="8" width="15.5" bestFit="1" customWidth="1"/>
    <col min="9" max="9" width="10.69921875" bestFit="1" customWidth="1"/>
    <col min="10" max="10" width="21.296875" bestFit="1" customWidth="1"/>
    <col min="11" max="11" width="63.19921875" bestFit="1" customWidth="1"/>
    <col min="12" max="12" width="80.796875" bestFit="1" customWidth="1"/>
    <col min="13" max="13" width="24" bestFit="1" customWidth="1"/>
    <col min="14" max="14" width="21.796875" bestFit="1" customWidth="1"/>
  </cols>
  <sheetData>
    <row r="1" spans="1: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 s="8" t="s">
        <v>69</v>
      </c>
      <c r="B2">
        <v>4</v>
      </c>
      <c r="C2" s="8" t="s">
        <v>8</v>
      </c>
      <c r="D2" s="8" t="s">
        <v>70</v>
      </c>
      <c r="E2" s="8" t="s">
        <v>71</v>
      </c>
      <c r="F2" s="8" t="s">
        <v>9</v>
      </c>
      <c r="G2" s="8" t="s">
        <v>10</v>
      </c>
    </row>
    <row r="3" spans="1:7">
      <c r="A3" s="8" t="s">
        <v>72</v>
      </c>
      <c r="B3">
        <v>5</v>
      </c>
      <c r="C3" s="8" t="s">
        <v>11</v>
      </c>
      <c r="D3" s="8" t="s">
        <v>73</v>
      </c>
      <c r="E3" s="8" t="s">
        <v>74</v>
      </c>
      <c r="F3" s="8" t="s">
        <v>75</v>
      </c>
      <c r="G3" s="8" t="s">
        <v>12</v>
      </c>
    </row>
    <row r="4" spans="1:7">
      <c r="A4" s="8" t="s">
        <v>13</v>
      </c>
      <c r="B4">
        <v>1</v>
      </c>
      <c r="C4" s="8" t="s">
        <v>14</v>
      </c>
      <c r="D4" s="8" t="s">
        <v>70</v>
      </c>
      <c r="E4" s="8" t="s">
        <v>76</v>
      </c>
      <c r="F4" s="8" t="s">
        <v>9</v>
      </c>
      <c r="G4" s="8" t="s">
        <v>15</v>
      </c>
    </row>
    <row r="5" spans="1:7">
      <c r="A5" s="8" t="s">
        <v>16</v>
      </c>
      <c r="B5">
        <v>1</v>
      </c>
      <c r="C5" s="8" t="s">
        <v>17</v>
      </c>
      <c r="D5" s="8" t="s">
        <v>77</v>
      </c>
      <c r="E5" s="8" t="s">
        <v>78</v>
      </c>
      <c r="F5" s="8" t="s">
        <v>18</v>
      </c>
      <c r="G5" s="8" t="s">
        <v>19</v>
      </c>
    </row>
    <row r="6" spans="1:7">
      <c r="A6" s="8" t="s">
        <v>20</v>
      </c>
      <c r="B6">
        <v>1</v>
      </c>
      <c r="C6" s="8" t="s">
        <v>21</v>
      </c>
      <c r="D6" s="8" t="s">
        <v>79</v>
      </c>
      <c r="E6" s="8" t="s">
        <v>80</v>
      </c>
      <c r="F6" s="8" t="s">
        <v>81</v>
      </c>
      <c r="G6" s="8" t="s">
        <v>22</v>
      </c>
    </row>
    <row r="7" spans="1:7">
      <c r="A7" s="8" t="s">
        <v>23</v>
      </c>
      <c r="B7">
        <v>1</v>
      </c>
      <c r="C7" s="8" t="s">
        <v>24</v>
      </c>
      <c r="D7" s="8" t="s">
        <v>82</v>
      </c>
      <c r="E7" s="8" t="s">
        <v>83</v>
      </c>
      <c r="F7" s="8" t="s">
        <v>81</v>
      </c>
      <c r="G7" s="8" t="s">
        <v>24</v>
      </c>
    </row>
    <row r="8" spans="1:7">
      <c r="A8" s="8" t="s">
        <v>25</v>
      </c>
      <c r="B8">
        <v>1</v>
      </c>
      <c r="C8" s="8" t="s">
        <v>84</v>
      </c>
      <c r="D8" s="8" t="s">
        <v>85</v>
      </c>
      <c r="E8" s="8" t="s">
        <v>86</v>
      </c>
      <c r="F8" s="8" t="s">
        <v>26</v>
      </c>
      <c r="G8" s="8" t="s">
        <v>27</v>
      </c>
    </row>
    <row r="9" spans="1:7">
      <c r="A9" s="8" t="s">
        <v>28</v>
      </c>
      <c r="B9">
        <v>1</v>
      </c>
      <c r="C9" s="8" t="s">
        <v>87</v>
      </c>
      <c r="D9" s="8" t="s">
        <v>88</v>
      </c>
      <c r="E9" s="8" t="s">
        <v>89</v>
      </c>
      <c r="F9" s="8" t="s">
        <v>29</v>
      </c>
      <c r="G9" s="8" t="s">
        <v>30</v>
      </c>
    </row>
    <row r="10" spans="1:7">
      <c r="A10" s="8" t="s">
        <v>31</v>
      </c>
      <c r="B10">
        <v>1</v>
      </c>
      <c r="C10" s="8" t="s">
        <v>90</v>
      </c>
      <c r="D10" s="8" t="s">
        <v>91</v>
      </c>
      <c r="E10" s="8" t="s">
        <v>92</v>
      </c>
      <c r="F10" s="8" t="s">
        <v>32</v>
      </c>
      <c r="G10" s="8" t="s">
        <v>33</v>
      </c>
    </row>
    <row r="11" spans="1:7">
      <c r="A11" s="8" t="s">
        <v>34</v>
      </c>
      <c r="B11">
        <v>2</v>
      </c>
      <c r="C11" s="8" t="s">
        <v>93</v>
      </c>
      <c r="D11" s="8" t="s">
        <v>94</v>
      </c>
      <c r="E11" s="8" t="s">
        <v>95</v>
      </c>
      <c r="F11" s="8" t="s">
        <v>35</v>
      </c>
      <c r="G11" s="8" t="s">
        <v>36</v>
      </c>
    </row>
    <row r="12" spans="1:7">
      <c r="A12" s="8" t="s">
        <v>37</v>
      </c>
      <c r="B12">
        <v>2</v>
      </c>
      <c r="C12" s="8" t="s">
        <v>38</v>
      </c>
      <c r="D12" s="8" t="s">
        <v>96</v>
      </c>
      <c r="E12" s="8" t="s">
        <v>97</v>
      </c>
      <c r="F12" s="8" t="s">
        <v>39</v>
      </c>
      <c r="G12" s="8" t="s">
        <v>40</v>
      </c>
    </row>
    <row r="13" spans="1:7">
      <c r="A13" s="8" t="s">
        <v>98</v>
      </c>
      <c r="B13">
        <v>4</v>
      </c>
      <c r="C13" s="8" t="s">
        <v>41</v>
      </c>
      <c r="D13" s="8" t="s">
        <v>96</v>
      </c>
      <c r="E13" s="8" t="s">
        <v>99</v>
      </c>
      <c r="F13" s="8" t="s">
        <v>39</v>
      </c>
      <c r="G13" s="8" t="s">
        <v>42</v>
      </c>
    </row>
    <row r="14" spans="1:7">
      <c r="A14" s="8" t="s">
        <v>43</v>
      </c>
      <c r="B14">
        <v>2</v>
      </c>
      <c r="C14" s="8" t="s">
        <v>44</v>
      </c>
      <c r="D14" s="8" t="s">
        <v>96</v>
      </c>
      <c r="E14" s="8" t="s">
        <v>100</v>
      </c>
      <c r="F14" s="8" t="s">
        <v>39</v>
      </c>
      <c r="G14" s="8" t="s">
        <v>45</v>
      </c>
    </row>
    <row r="15" spans="1:7">
      <c r="A15" s="8" t="s">
        <v>46</v>
      </c>
      <c r="B15">
        <v>2</v>
      </c>
      <c r="C15" s="8" t="s">
        <v>47</v>
      </c>
      <c r="D15" s="8" t="s">
        <v>96</v>
      </c>
      <c r="E15" s="8" t="s">
        <v>101</v>
      </c>
      <c r="F15" s="8" t="s">
        <v>39</v>
      </c>
      <c r="G15" s="8" t="s">
        <v>48</v>
      </c>
    </row>
    <row r="16" spans="1:7">
      <c r="A16" s="8" t="s">
        <v>49</v>
      </c>
      <c r="B16">
        <v>1</v>
      </c>
      <c r="C16" s="8" t="s">
        <v>50</v>
      </c>
      <c r="D16" s="8" t="s">
        <v>96</v>
      </c>
      <c r="E16" s="8" t="s">
        <v>102</v>
      </c>
      <c r="F16" s="8" t="s">
        <v>39</v>
      </c>
      <c r="G16" s="8" t="s">
        <v>51</v>
      </c>
    </row>
    <row r="17" spans="1:7">
      <c r="A17" s="8" t="s">
        <v>52</v>
      </c>
      <c r="B17">
        <v>1</v>
      </c>
      <c r="C17" s="8" t="s">
        <v>53</v>
      </c>
      <c r="D17" s="8" t="s">
        <v>96</v>
      </c>
      <c r="E17" s="8" t="s">
        <v>103</v>
      </c>
      <c r="F17" s="8" t="s">
        <v>39</v>
      </c>
      <c r="G17" s="8" t="s">
        <v>54</v>
      </c>
    </row>
    <row r="18" spans="1:7">
      <c r="A18" s="8" t="s">
        <v>55</v>
      </c>
      <c r="B18">
        <v>2</v>
      </c>
      <c r="C18" s="8" t="s">
        <v>56</v>
      </c>
      <c r="D18" s="8" t="s">
        <v>104</v>
      </c>
      <c r="E18" s="8" t="s">
        <v>105</v>
      </c>
      <c r="F18" s="8" t="s">
        <v>57</v>
      </c>
      <c r="G18" s="8" t="s">
        <v>56</v>
      </c>
    </row>
    <row r="19" spans="1:7">
      <c r="A19" s="8" t="s">
        <v>58</v>
      </c>
      <c r="B19">
        <v>1</v>
      </c>
      <c r="C19" s="8" t="s">
        <v>106</v>
      </c>
      <c r="D19" s="8" t="s">
        <v>107</v>
      </c>
      <c r="E19" s="8" t="s">
        <v>108</v>
      </c>
      <c r="F19" s="8" t="s">
        <v>59</v>
      </c>
      <c r="G19" s="8" t="s">
        <v>60</v>
      </c>
    </row>
    <row r="20" spans="1:7">
      <c r="A20" s="8" t="s">
        <v>61</v>
      </c>
      <c r="B20">
        <v>1</v>
      </c>
      <c r="C20" s="8" t="s">
        <v>109</v>
      </c>
      <c r="D20" s="8" t="s">
        <v>110</v>
      </c>
      <c r="E20" s="8" t="s">
        <v>111</v>
      </c>
      <c r="F20" s="8" t="s">
        <v>112</v>
      </c>
      <c r="G20" s="8" t="s">
        <v>62</v>
      </c>
    </row>
    <row r="21" spans="1:7">
      <c r="A21" s="8" t="s">
        <v>63</v>
      </c>
      <c r="B21">
        <v>1</v>
      </c>
      <c r="C21" s="8" t="s">
        <v>64</v>
      </c>
      <c r="D21" s="8" t="s">
        <v>113</v>
      </c>
      <c r="E21" s="8" t="s">
        <v>114</v>
      </c>
      <c r="F21" s="8" t="s">
        <v>115</v>
      </c>
      <c r="G21" s="8" t="s">
        <v>64</v>
      </c>
    </row>
    <row r="22" spans="1:7">
      <c r="A22" s="8" t="s">
        <v>65</v>
      </c>
      <c r="B22">
        <v>1</v>
      </c>
      <c r="C22" s="8" t="s">
        <v>66</v>
      </c>
      <c r="D22" s="8" t="s">
        <v>116</v>
      </c>
      <c r="E22" s="8" t="s">
        <v>117</v>
      </c>
      <c r="F22" s="8" t="s">
        <v>67</v>
      </c>
      <c r="G22" s="8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EC19FD-A010-4A6B-AD77-4A95AD63F3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Blank Template</vt:lpstr>
      <vt:lpstr>KiCad_Raw_Data</vt:lpstr>
      <vt:lpstr>'Blank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E.a. Chowdhury Moon</dc:creator>
  <cp:lastModifiedBy>E.a. Chowdhury Moon</cp:lastModifiedBy>
  <cp:lastPrinted>2026-10-25T10:07:04Z</cp:lastPrinted>
  <dcterms:created xsi:type="dcterms:W3CDTF">2026-10-25T10:07:34Z</dcterms:created>
  <dcterms:modified xsi:type="dcterms:W3CDTF">2026-10-25T10:07:34Z</dcterms:modified>
</cp:coreProperties>
</file>